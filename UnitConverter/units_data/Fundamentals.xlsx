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Karczewski\Downloads\stuff+apps\VScode\MechX\MechX\UnitConverter\units_data\"/>
    </mc:Choice>
  </mc:AlternateContent>
  <xr:revisionPtr revIDLastSave="0" documentId="13_ncr:1_{FA7D6E8E-619F-4CD1-A914-CE265F570D81}" xr6:coauthVersionLast="47" xr6:coauthVersionMax="47" xr10:uidLastSave="{00000000-0000-0000-0000-000000000000}"/>
  <bookViews>
    <workbookView xWindow="-105" yWindow="0" windowWidth="14610" windowHeight="15585" activeTab="1" xr2:uid="{8FEC54B5-2547-4832-AF68-DE68152FABF4}"/>
  </bookViews>
  <sheets>
    <sheet name="Length and Distance" sheetId="1" r:id="rId1"/>
    <sheet name="Mass and Weight" sheetId="8" r:id="rId2"/>
    <sheet name="Area" sheetId="10" r:id="rId3"/>
    <sheet name="Volume" sheetId="11" r:id="rId4"/>
    <sheet name="Density" sheetId="12" r:id="rId5"/>
    <sheet name="Temperature" sheetId="4" r:id="rId6"/>
    <sheet name="Time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C37" i="1"/>
  <c r="C35" i="1"/>
  <c r="C34" i="1"/>
  <c r="C33" i="1"/>
  <c r="C27" i="1"/>
  <c r="C26" i="1"/>
  <c r="C25" i="1"/>
  <c r="C24" i="1"/>
</calcChain>
</file>

<file path=xl/sharedStrings.xml><?xml version="1.0" encoding="utf-8"?>
<sst xmlns="http://schemas.openxmlformats.org/spreadsheetml/2006/main" count="79" uniqueCount="77">
  <si>
    <t>UnitName</t>
  </si>
  <si>
    <t>Factor</t>
  </si>
  <si>
    <t>Electricity</t>
  </si>
  <si>
    <t>Current</t>
  </si>
  <si>
    <t>Ampere [A]</t>
  </si>
  <si>
    <t>Milliampere [mA]</t>
  </si>
  <si>
    <t>Te</t>
  </si>
  <si>
    <t>Abrv</t>
  </si>
  <si>
    <t>m</t>
  </si>
  <si>
    <t>Em</t>
  </si>
  <si>
    <t>Pm</t>
  </si>
  <si>
    <t>Tm</t>
  </si>
  <si>
    <t>Gm</t>
  </si>
  <si>
    <t>Mm</t>
  </si>
  <si>
    <t>km</t>
  </si>
  <si>
    <t>hm</t>
  </si>
  <si>
    <t>dam</t>
  </si>
  <si>
    <t>dm</t>
  </si>
  <si>
    <t>cm</t>
  </si>
  <si>
    <t>mm</t>
  </si>
  <si>
    <t>μm</t>
  </si>
  <si>
    <t>μ</t>
  </si>
  <si>
    <t>nm</t>
  </si>
  <si>
    <t>pm</t>
  </si>
  <si>
    <t>fm</t>
  </si>
  <si>
    <t>am</t>
  </si>
  <si>
    <t>ft</t>
  </si>
  <si>
    <t>mi</t>
  </si>
  <si>
    <t>yd</t>
  </si>
  <si>
    <t>in</t>
  </si>
  <si>
    <t>ly</t>
  </si>
  <si>
    <t>Mpc</t>
  </si>
  <si>
    <t>kpc</t>
  </si>
  <si>
    <t>pc</t>
  </si>
  <si>
    <t>AU</t>
  </si>
  <si>
    <t>Meter</t>
  </si>
  <si>
    <t>Exameter</t>
  </si>
  <si>
    <t>Petameter</t>
  </si>
  <si>
    <t>Terameter</t>
  </si>
  <si>
    <t>Gigameter</t>
  </si>
  <si>
    <t>Megameter</t>
  </si>
  <si>
    <t>Kilometer</t>
  </si>
  <si>
    <t>Hectometer</t>
  </si>
  <si>
    <t>Dekameter</t>
  </si>
  <si>
    <t>Decimeter</t>
  </si>
  <si>
    <t>Centimeter</t>
  </si>
  <si>
    <t>Millimeter</t>
  </si>
  <si>
    <t>Micrometer</t>
  </si>
  <si>
    <t>Micron</t>
  </si>
  <si>
    <t>Nanometer</t>
  </si>
  <si>
    <t>Picometer</t>
  </si>
  <si>
    <t>Femtometer</t>
  </si>
  <si>
    <t>Attometer</t>
  </si>
  <si>
    <t>Foot</t>
  </si>
  <si>
    <t>Mile</t>
  </si>
  <si>
    <t>Yard</t>
  </si>
  <si>
    <t>Inch</t>
  </si>
  <si>
    <t>Light Year</t>
  </si>
  <si>
    <t>Megaparsec</t>
  </si>
  <si>
    <t>Kiloparsec</t>
  </si>
  <si>
    <t>Parsec</t>
  </si>
  <si>
    <t>Astronomical Unit</t>
  </si>
  <si>
    <t>League</t>
  </si>
  <si>
    <t>lea</t>
  </si>
  <si>
    <t>Nautical Mile</t>
  </si>
  <si>
    <t>Nautical League</t>
  </si>
  <si>
    <t>Fathom</t>
  </si>
  <si>
    <t>fath</t>
  </si>
  <si>
    <t>mil</t>
  </si>
  <si>
    <t>mil, thou</t>
  </si>
  <si>
    <t>microinch</t>
  </si>
  <si>
    <t>angstrom</t>
  </si>
  <si>
    <t>A</t>
  </si>
  <si>
    <t>caliber</t>
  </si>
  <si>
    <t>cl</t>
  </si>
  <si>
    <t>Plank Length</t>
  </si>
  <si>
    <t>Electron 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</si>
</sst>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C7EC-5970-4557-B32D-446CA0B30F6B}">
  <dimension ref="A1:M38"/>
  <sheetViews>
    <sheetView workbookViewId="0">
      <selection activeCell="C38" sqref="A1:C38"/>
    </sheetView>
  </sheetViews>
  <sheetFormatPr defaultRowHeight="14.25" x14ac:dyDescent="0.2"/>
  <cols>
    <col min="1" max="1" width="16.75" customWidth="1"/>
    <col min="2" max="2" width="16.5" customWidth="1"/>
    <col min="3" max="3" width="13.75" customWidth="1"/>
    <col min="4" max="4" width="7.875" customWidth="1"/>
  </cols>
  <sheetData>
    <row r="1" spans="1:3" x14ac:dyDescent="0.2">
      <c r="A1" t="s">
        <v>0</v>
      </c>
      <c r="B1" t="s">
        <v>7</v>
      </c>
      <c r="C1" t="s">
        <v>1</v>
      </c>
    </row>
    <row r="2" spans="1:3" x14ac:dyDescent="0.2">
      <c r="A2" t="s">
        <v>35</v>
      </c>
      <c r="B2" t="s">
        <v>8</v>
      </c>
      <c r="C2">
        <v>1</v>
      </c>
    </row>
    <row r="3" spans="1:3" x14ac:dyDescent="0.2">
      <c r="A3" t="s">
        <v>36</v>
      </c>
      <c r="B3" t="s">
        <v>9</v>
      </c>
      <c r="C3">
        <v>1E+18</v>
      </c>
    </row>
    <row r="4" spans="1:3" x14ac:dyDescent="0.2">
      <c r="A4" t="s">
        <v>37</v>
      </c>
      <c r="B4" t="s">
        <v>10</v>
      </c>
      <c r="C4">
        <v>1000000000000000</v>
      </c>
    </row>
    <row r="5" spans="1:3" x14ac:dyDescent="0.2">
      <c r="A5" t="s">
        <v>38</v>
      </c>
      <c r="B5" t="s">
        <v>11</v>
      </c>
      <c r="C5">
        <v>1000000000000</v>
      </c>
    </row>
    <row r="6" spans="1:3" x14ac:dyDescent="0.2">
      <c r="A6" t="s">
        <v>39</v>
      </c>
      <c r="B6" t="s">
        <v>12</v>
      </c>
      <c r="C6">
        <v>1000000000</v>
      </c>
    </row>
    <row r="7" spans="1:3" x14ac:dyDescent="0.2">
      <c r="A7" t="s">
        <v>40</v>
      </c>
      <c r="B7" t="s">
        <v>13</v>
      </c>
      <c r="C7">
        <v>1000000</v>
      </c>
    </row>
    <row r="8" spans="1:3" x14ac:dyDescent="0.2">
      <c r="A8" t="s">
        <v>41</v>
      </c>
      <c r="B8" t="s">
        <v>14</v>
      </c>
      <c r="C8">
        <v>1000</v>
      </c>
    </row>
    <row r="9" spans="1:3" x14ac:dyDescent="0.2">
      <c r="A9" t="s">
        <v>42</v>
      </c>
      <c r="B9" t="s">
        <v>15</v>
      </c>
      <c r="C9">
        <v>100</v>
      </c>
    </row>
    <row r="10" spans="1:3" x14ac:dyDescent="0.2">
      <c r="A10" t="s">
        <v>43</v>
      </c>
      <c r="B10" t="s">
        <v>16</v>
      </c>
      <c r="C10">
        <v>10</v>
      </c>
    </row>
    <row r="11" spans="1:3" x14ac:dyDescent="0.2">
      <c r="A11" t="s">
        <v>44</v>
      </c>
      <c r="B11" t="s">
        <v>17</v>
      </c>
      <c r="C11">
        <v>0.1</v>
      </c>
    </row>
    <row r="12" spans="1:3" x14ac:dyDescent="0.2">
      <c r="A12" t="s">
        <v>45</v>
      </c>
      <c r="B12" t="s">
        <v>18</v>
      </c>
      <c r="C12">
        <v>0.01</v>
      </c>
    </row>
    <row r="13" spans="1:3" x14ac:dyDescent="0.2">
      <c r="A13" t="s">
        <v>46</v>
      </c>
      <c r="B13" t="s">
        <v>19</v>
      </c>
      <c r="C13">
        <v>1E-3</v>
      </c>
    </row>
    <row r="14" spans="1:3" x14ac:dyDescent="0.2">
      <c r="A14" t="s">
        <v>47</v>
      </c>
      <c r="B14" t="s">
        <v>20</v>
      </c>
      <c r="C14">
        <v>9.9999999999999995E-7</v>
      </c>
    </row>
    <row r="15" spans="1:3" x14ac:dyDescent="0.2">
      <c r="A15" t="s">
        <v>48</v>
      </c>
      <c r="B15" t="s">
        <v>21</v>
      </c>
      <c r="C15">
        <v>9.9999999999999995E-7</v>
      </c>
    </row>
    <row r="16" spans="1:3" x14ac:dyDescent="0.2">
      <c r="A16" t="s">
        <v>49</v>
      </c>
      <c r="B16" t="s">
        <v>22</v>
      </c>
      <c r="C16">
        <v>1.0000000000000001E-9</v>
      </c>
    </row>
    <row r="17" spans="1:13" x14ac:dyDescent="0.2">
      <c r="A17" t="s">
        <v>50</v>
      </c>
      <c r="B17" t="s">
        <v>23</v>
      </c>
      <c r="C17">
        <v>9.9999999999999998E-13</v>
      </c>
    </row>
    <row r="18" spans="1:13" x14ac:dyDescent="0.2">
      <c r="A18" t="s">
        <v>51</v>
      </c>
      <c r="B18" t="s">
        <v>24</v>
      </c>
      <c r="C18">
        <v>1.0000000000000001E-15</v>
      </c>
      <c r="J18" t="s">
        <v>2</v>
      </c>
      <c r="K18" t="s">
        <v>3</v>
      </c>
      <c r="L18" t="s">
        <v>4</v>
      </c>
      <c r="M18">
        <v>1</v>
      </c>
    </row>
    <row r="19" spans="1:13" x14ac:dyDescent="0.2">
      <c r="A19" t="s">
        <v>52</v>
      </c>
      <c r="B19" t="s">
        <v>25</v>
      </c>
      <c r="C19">
        <v>1.0000000000000001E-18</v>
      </c>
      <c r="J19" t="s">
        <v>2</v>
      </c>
      <c r="K19" t="s">
        <v>3</v>
      </c>
      <c r="L19" t="s">
        <v>5</v>
      </c>
      <c r="M19">
        <v>1E-3</v>
      </c>
    </row>
    <row r="20" spans="1:13" x14ac:dyDescent="0.2">
      <c r="A20" t="s">
        <v>53</v>
      </c>
      <c r="B20" t="s">
        <v>26</v>
      </c>
      <c r="C20">
        <v>0.30480000000000002</v>
      </c>
    </row>
    <row r="21" spans="1:13" x14ac:dyDescent="0.2">
      <c r="A21" t="s">
        <v>54</v>
      </c>
      <c r="B21" t="s">
        <v>27</v>
      </c>
      <c r="C21">
        <v>1609.3440000000001</v>
      </c>
    </row>
    <row r="22" spans="1:13" x14ac:dyDescent="0.2">
      <c r="A22" t="s">
        <v>55</v>
      </c>
      <c r="B22" t="s">
        <v>28</v>
      </c>
      <c r="C22">
        <v>0.91439999999999999</v>
      </c>
    </row>
    <row r="23" spans="1:13" x14ac:dyDescent="0.2">
      <c r="A23" t="s">
        <v>56</v>
      </c>
      <c r="B23" t="s">
        <v>29</v>
      </c>
      <c r="C23">
        <v>2.5399999999999999E-2</v>
      </c>
    </row>
    <row r="24" spans="1:13" x14ac:dyDescent="0.2">
      <c r="A24" t="s">
        <v>57</v>
      </c>
      <c r="B24" t="s">
        <v>30</v>
      </c>
      <c r="C24">
        <f>9.46073047258*10^15</f>
        <v>9460730472580000</v>
      </c>
    </row>
    <row r="25" spans="1:13" x14ac:dyDescent="0.2">
      <c r="A25" t="s">
        <v>58</v>
      </c>
      <c r="B25" t="s">
        <v>31</v>
      </c>
      <c r="C25">
        <f>3.08567758128*10^22</f>
        <v>3.0856775812800003E+22</v>
      </c>
    </row>
    <row r="26" spans="1:13" x14ac:dyDescent="0.2">
      <c r="A26" t="s">
        <v>59</v>
      </c>
      <c r="B26" t="s">
        <v>32</v>
      </c>
      <c r="C26">
        <f>3.08567758128*10^19</f>
        <v>3.08567758128E+19</v>
      </c>
    </row>
    <row r="27" spans="1:13" x14ac:dyDescent="0.2">
      <c r="A27" t="s">
        <v>60</v>
      </c>
      <c r="B27" t="s">
        <v>33</v>
      </c>
      <c r="C27">
        <f>3.08567758128*10^16</f>
        <v>3.08567758128E+16</v>
      </c>
    </row>
    <row r="28" spans="1:13" x14ac:dyDescent="0.2">
      <c r="A28" t="s">
        <v>61</v>
      </c>
      <c r="B28" t="s">
        <v>34</v>
      </c>
      <c r="C28">
        <v>149597870691</v>
      </c>
    </row>
    <row r="29" spans="1:13" x14ac:dyDescent="0.2">
      <c r="A29" t="s">
        <v>62</v>
      </c>
      <c r="B29" t="s">
        <v>63</v>
      </c>
      <c r="C29">
        <v>4828.0320000000002</v>
      </c>
    </row>
    <row r="30" spans="1:13" x14ac:dyDescent="0.2">
      <c r="A30" t="s">
        <v>65</v>
      </c>
      <c r="C30">
        <v>5556</v>
      </c>
    </row>
    <row r="31" spans="1:13" x14ac:dyDescent="0.2">
      <c r="A31" t="s">
        <v>64</v>
      </c>
      <c r="C31">
        <v>1852</v>
      </c>
    </row>
    <row r="32" spans="1:13" x14ac:dyDescent="0.2">
      <c r="A32" t="s">
        <v>66</v>
      </c>
      <c r="B32" t="s">
        <v>67</v>
      </c>
      <c r="C32">
        <v>1.8288</v>
      </c>
    </row>
    <row r="33" spans="1:3" x14ac:dyDescent="0.2">
      <c r="A33" t="s">
        <v>68</v>
      </c>
      <c r="B33" t="s">
        <v>69</v>
      </c>
      <c r="C33">
        <f>2.54*10^-5</f>
        <v>2.5400000000000001E-5</v>
      </c>
    </row>
    <row r="34" spans="1:3" x14ac:dyDescent="0.2">
      <c r="A34" t="s">
        <v>70</v>
      </c>
      <c r="C34">
        <f>2.54*10^-8</f>
        <v>2.5400000000000002E-8</v>
      </c>
    </row>
    <row r="35" spans="1:3" x14ac:dyDescent="0.2">
      <c r="A35" t="s">
        <v>71</v>
      </c>
      <c r="B35" t="s">
        <v>72</v>
      </c>
      <c r="C35">
        <f>1*10^-10</f>
        <v>1E-10</v>
      </c>
    </row>
    <row r="36" spans="1:3" x14ac:dyDescent="0.2">
      <c r="A36" t="s">
        <v>73</v>
      </c>
      <c r="B36" t="s">
        <v>74</v>
      </c>
      <c r="C36">
        <v>2.5399999999999999E-4</v>
      </c>
    </row>
    <row r="37" spans="1:3" x14ac:dyDescent="0.2">
      <c r="A37" t="s">
        <v>75</v>
      </c>
      <c r="C37">
        <f>1.61605*10^-35</f>
        <v>1.6160499999999999E-35</v>
      </c>
    </row>
    <row r="38" spans="1:3" x14ac:dyDescent="0.2">
      <c r="A38" t="s">
        <v>76</v>
      </c>
      <c r="C38">
        <f>2.81794092*10^-15</f>
        <v>2.81794092E-15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4F51-A8D8-4DA2-925A-7A0B11E56753}">
  <dimension ref="A1"/>
  <sheetViews>
    <sheetView tabSelected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BFF15-EAD1-4FF1-9E66-F8253B8F645D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053D9-3B2B-4396-B5FC-C1D2459F9327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E1DEB-3793-43D7-BBDA-9D1F9CDB05D6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A371-C51E-4F62-988F-D9172957B702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09FA-139D-4DE9-A8FC-F9A81CE19B21}">
  <dimension ref="A1"/>
  <sheetViews>
    <sheetView workbookViewId="0"/>
  </sheetViews>
  <sheetFormatPr defaultRowHeight="14.25" x14ac:dyDescent="0.2"/>
  <sheetData>
    <row r="1" spans="1:1" x14ac:dyDescent="0.2">
      <c r="A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Length and Distance</vt:lpstr>
      <vt:lpstr>Mass and Weight</vt:lpstr>
      <vt:lpstr>Area</vt:lpstr>
      <vt:lpstr>Volume</vt:lpstr>
      <vt:lpstr>Density</vt:lpstr>
      <vt:lpstr>Temperature</vt:lpstr>
      <vt:lpstr>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Karczewski</dc:creator>
  <cp:lastModifiedBy>James Karczewski</cp:lastModifiedBy>
  <dcterms:created xsi:type="dcterms:W3CDTF">2026-05-06T14:29:26Z</dcterms:created>
  <dcterms:modified xsi:type="dcterms:W3CDTF">2026-05-06T19:30:36Z</dcterms:modified>
</cp:coreProperties>
</file>